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ker\Desktop\"/>
    </mc:Choice>
  </mc:AlternateContent>
  <xr:revisionPtr revIDLastSave="0" documentId="13_ncr:1_{EAB8D33B-DD69-43AD-9C24-57566B8A51BD}" xr6:coauthVersionLast="47" xr6:coauthVersionMax="47" xr10:uidLastSave="{00000000-0000-0000-0000-000000000000}"/>
  <bookViews>
    <workbookView xWindow="-103" yWindow="-103" windowWidth="22149" windowHeight="13200" xr2:uid="{AF753964-10EE-486F-82F2-7248E79352A3}"/>
  </bookViews>
  <sheets>
    <sheet name="Кредитный калькулято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" l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6" i="1"/>
  <c r="D18" i="1"/>
  <c r="D17" i="1"/>
  <c r="D16" i="1"/>
  <c r="D15" i="1"/>
  <c r="D14" i="1"/>
  <c r="D13" i="1"/>
  <c r="D12" i="1"/>
  <c r="D11" i="1"/>
  <c r="D10" i="1"/>
  <c r="D9" i="1"/>
  <c r="D8" i="1"/>
  <c r="D7" i="1"/>
  <c r="C8" i="1"/>
  <c r="B8" i="1" s="1"/>
  <c r="C9" i="1"/>
  <c r="B9" i="1" s="1"/>
  <c r="C10" i="1"/>
  <c r="B10" i="1" s="1"/>
  <c r="C11" i="1"/>
  <c r="B11" i="1" s="1"/>
  <c r="C12" i="1"/>
  <c r="B12" i="1" s="1"/>
  <c r="C13" i="1"/>
  <c r="B13" i="1" s="1"/>
  <c r="C14" i="1"/>
  <c r="B14" i="1" s="1"/>
  <c r="C15" i="1"/>
  <c r="B15" i="1" s="1"/>
  <c r="C16" i="1"/>
  <c r="B16" i="1" s="1"/>
  <c r="C17" i="1"/>
  <c r="B17" i="1" s="1"/>
  <c r="C18" i="1"/>
  <c r="B18" i="1" s="1"/>
  <c r="C7" i="1"/>
  <c r="B7" i="1" s="1"/>
</calcChain>
</file>

<file path=xl/sharedStrings.xml><?xml version="1.0" encoding="utf-8"?>
<sst xmlns="http://schemas.openxmlformats.org/spreadsheetml/2006/main" count="9" uniqueCount="9">
  <si>
    <t>Сумма кредита</t>
  </si>
  <si>
    <t xml:space="preserve">Годовая ставка </t>
  </si>
  <si>
    <t xml:space="preserve">Срок </t>
  </si>
  <si>
    <t>Месяц</t>
  </si>
  <si>
    <t>Платеж</t>
  </si>
  <si>
    <t>На оплату процентов</t>
  </si>
  <si>
    <t xml:space="preserve">На выплату тела кредита </t>
  </si>
  <si>
    <t xml:space="preserve">Осталось выплатить </t>
  </si>
  <si>
    <t>Дополнительный выплаты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</si>
</sst>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₽&quot;;[Red]\-#,##0.00\ &quot;₽&quot;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8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9" fontId="0" fillId="0" borderId="5" xfId="0" applyNumberFormat="1" applyBorder="1"/>
    <xf numFmtId="0" fontId="0" fillId="0" borderId="6" xfId="0" applyBorder="1"/>
    <xf numFmtId="0" fontId="0" fillId="0" borderId="7" xfId="0" applyBorder="1"/>
    <xf numFmtId="8" fontId="0" fillId="0" borderId="1" xfId="0" applyNumberFormat="1" applyBorder="1"/>
    <xf numFmtId="0" fontId="0" fillId="0" borderId="8" xfId="0" applyFill="1" applyBorder="1"/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12E5-E0D6-4DEB-80A7-9EC28B0FC784}">
  <dimension ref="A1:F18"/>
  <sheetViews>
    <sheetView tabSelected="1" workbookViewId="0">
      <selection activeCell="D18" sqref="D18"/>
    </sheetView>
  </sheetViews>
  <sheetFormatPr defaultRowHeight="14.6" x14ac:dyDescent="0.4"/>
  <cols>
    <col min="1" max="1" width="13.69140625" bestFit="1" customWidth="1"/>
    <col min="2" max="2" width="10.765625" bestFit="1" customWidth="1"/>
    <col min="3" max="3" width="18.53515625" bestFit="1" customWidth="1"/>
    <col min="4" max="4" width="22.3046875" bestFit="1" customWidth="1"/>
    <col min="5" max="5" width="18.3046875" bestFit="1" customWidth="1"/>
    <col min="6" max="6" width="23.07421875" bestFit="1" customWidth="1"/>
  </cols>
  <sheetData>
    <row r="1" spans="1:6" x14ac:dyDescent="0.4">
      <c r="A1" s="3" t="s">
        <v>0</v>
      </c>
      <c r="B1" s="4">
        <v>150000</v>
      </c>
    </row>
    <row r="2" spans="1:6" x14ac:dyDescent="0.4">
      <c r="A2" s="5" t="s">
        <v>1</v>
      </c>
      <c r="B2" s="6">
        <v>0.2</v>
      </c>
    </row>
    <row r="3" spans="1:6" ht="15" thickBot="1" x14ac:dyDescent="0.45">
      <c r="A3" s="7" t="s">
        <v>2</v>
      </c>
      <c r="B3" s="8">
        <v>12</v>
      </c>
    </row>
    <row r="5" spans="1:6" x14ac:dyDescent="0.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10" t="s">
        <v>8</v>
      </c>
    </row>
    <row r="6" spans="1:6" x14ac:dyDescent="0.4">
      <c r="A6">
        <v>0</v>
      </c>
      <c r="B6" s="11">
        <v>0</v>
      </c>
      <c r="C6">
        <v>0</v>
      </c>
      <c r="D6">
        <v>0</v>
      </c>
      <c r="E6" s="1">
        <f>SUM(B7:B18)</f>
        <v>166742.11061474402</v>
      </c>
      <c r="F6" s="1"/>
    </row>
    <row r="7" spans="1:6" x14ac:dyDescent="0.4">
      <c r="A7" s="2">
        <v>1</v>
      </c>
      <c r="B7" s="9">
        <f>C7+D7</f>
        <v>13895.175884562002</v>
      </c>
      <c r="C7" s="9">
        <f>IPMT($B$2/12,$A7,$B$3,-$B$1)</f>
        <v>2500</v>
      </c>
      <c r="D7" s="9">
        <f>PPMT($B$2/12,$A7,$B$3,-$B$1)</f>
        <v>11395.175884562002</v>
      </c>
      <c r="E7" s="9">
        <f>E6-B7-F7</f>
        <v>142846.93473018202</v>
      </c>
      <c r="F7" s="1">
        <v>10000</v>
      </c>
    </row>
    <row r="8" spans="1:6" x14ac:dyDescent="0.4">
      <c r="A8" s="2">
        <v>2</v>
      </c>
      <c r="B8" s="9">
        <f t="shared" ref="B8:B18" si="0">C8+D8</f>
        <v>13895.175884562004</v>
      </c>
      <c r="C8" s="9">
        <f>IPMT($B$2/12,$A8,$B$3,-$B$1)</f>
        <v>2310.0804019239663</v>
      </c>
      <c r="D8" s="9">
        <f>PPMT($B$2/12,$A8,$B$3,-$B$1)</f>
        <v>11585.095482638038</v>
      </c>
      <c r="E8" s="9">
        <f t="shared" ref="E8:E18" si="1">E7-B8-F8</f>
        <v>128951.75884562002</v>
      </c>
      <c r="F8" s="1"/>
    </row>
    <row r="9" spans="1:6" x14ac:dyDescent="0.4">
      <c r="A9" s="2">
        <v>3</v>
      </c>
      <c r="B9" s="9">
        <f t="shared" si="0"/>
        <v>13895.175884562002</v>
      </c>
      <c r="C9" s="9">
        <f>IPMT($B$2/12,$A9,$B$3,-$B$1)</f>
        <v>2116.9954772133324</v>
      </c>
      <c r="D9" s="9">
        <f>PPMT($B$2/12,$A9,$B$3,-$B$1)</f>
        <v>11778.180407348671</v>
      </c>
      <c r="E9" s="9">
        <f t="shared" si="1"/>
        <v>115056.58296105801</v>
      </c>
      <c r="F9" s="1"/>
    </row>
    <row r="10" spans="1:6" x14ac:dyDescent="0.4">
      <c r="A10" s="2">
        <v>4</v>
      </c>
      <c r="B10" s="9">
        <f t="shared" si="0"/>
        <v>13895.175884562004</v>
      </c>
      <c r="C10" s="9">
        <f>IPMT($B$2/12,$A10,$B$3,-$B$1)</f>
        <v>1920.6924704241876</v>
      </c>
      <c r="D10" s="9">
        <f>PPMT($B$2/12,$A10,$B$3,-$B$1)</f>
        <v>11974.483414137816</v>
      </c>
      <c r="E10" s="9">
        <f t="shared" si="1"/>
        <v>101161.40707649601</v>
      </c>
      <c r="F10" s="1"/>
    </row>
    <row r="11" spans="1:6" x14ac:dyDescent="0.4">
      <c r="A11" s="2">
        <v>5</v>
      </c>
      <c r="B11" s="9">
        <f t="shared" si="0"/>
        <v>13895.175884562002</v>
      </c>
      <c r="C11" s="9">
        <f>IPMT($B$2/12,$A11,$B$3,-$B$1)</f>
        <v>1721.1177468552241</v>
      </c>
      <c r="D11" s="9">
        <f>PPMT($B$2/12,$A11,$B$3,-$B$1)</f>
        <v>12174.058137706779</v>
      </c>
      <c r="E11" s="9">
        <f t="shared" si="1"/>
        <v>87266.231191933999</v>
      </c>
      <c r="F11" s="1"/>
    </row>
    <row r="12" spans="1:6" x14ac:dyDescent="0.4">
      <c r="A12" s="2">
        <v>6</v>
      </c>
      <c r="B12" s="9">
        <f t="shared" si="0"/>
        <v>13895.175884562006</v>
      </c>
      <c r="C12" s="9">
        <f>IPMT($B$2/12,$A12,$B$3,-$B$1)</f>
        <v>1518.2167778934445</v>
      </c>
      <c r="D12" s="9">
        <f>PPMT($B$2/12,$A12,$B$3,-$B$1)</f>
        <v>12376.959106668561</v>
      </c>
      <c r="E12" s="9">
        <f t="shared" si="1"/>
        <v>73371.055307371993</v>
      </c>
      <c r="F12" s="1"/>
    </row>
    <row r="13" spans="1:6" x14ac:dyDescent="0.4">
      <c r="A13" s="2">
        <v>7</v>
      </c>
      <c r="B13" s="9">
        <f t="shared" si="0"/>
        <v>13895.175884562002</v>
      </c>
      <c r="C13" s="9">
        <f>IPMT($B$2/12,$A13,$B$3,-$B$1)</f>
        <v>1311.9341261156351</v>
      </c>
      <c r="D13" s="9">
        <f>PPMT($B$2/12,$A13,$B$3,-$B$1)</f>
        <v>12583.241758446367</v>
      </c>
      <c r="E13" s="9">
        <f t="shared" si="1"/>
        <v>59475.879422809987</v>
      </c>
      <c r="F13" s="1"/>
    </row>
    <row r="14" spans="1:6" x14ac:dyDescent="0.4">
      <c r="A14" s="2">
        <v>8</v>
      </c>
      <c r="B14" s="9">
        <f t="shared" si="0"/>
        <v>13895.175884562002</v>
      </c>
      <c r="C14" s="9">
        <f>IPMT($B$2/12,$A14,$B$3,-$B$1)</f>
        <v>1102.213430141529</v>
      </c>
      <c r="D14" s="9">
        <f>PPMT($B$2/12,$A14,$B$3,-$B$1)</f>
        <v>12792.962454420474</v>
      </c>
      <c r="E14" s="9">
        <f t="shared" si="1"/>
        <v>45580.703538247981</v>
      </c>
      <c r="F14" s="1"/>
    </row>
    <row r="15" spans="1:6" x14ac:dyDescent="0.4">
      <c r="A15" s="2">
        <v>9</v>
      </c>
      <c r="B15" s="9">
        <f t="shared" si="0"/>
        <v>13895.175884562002</v>
      </c>
      <c r="C15" s="9">
        <f>IPMT($B$2/12,$A15,$B$3,-$B$1)</f>
        <v>888.99738923452105</v>
      </c>
      <c r="D15" s="9">
        <f>PPMT($B$2/12,$A15,$B$3,-$B$1)</f>
        <v>13006.178495327482</v>
      </c>
      <c r="E15" s="9">
        <f t="shared" si="1"/>
        <v>31685.527653685978</v>
      </c>
      <c r="F15" s="1"/>
    </row>
    <row r="16" spans="1:6" x14ac:dyDescent="0.4">
      <c r="A16" s="2">
        <v>10</v>
      </c>
      <c r="B16" s="9">
        <f t="shared" si="0"/>
        <v>13895.175884562002</v>
      </c>
      <c r="C16" s="9">
        <f>IPMT($B$2/12,$A16,$B$3,-$B$1)</f>
        <v>672.22774764572966</v>
      </c>
      <c r="D16" s="9">
        <f>PPMT($B$2/12,$A16,$B$3,-$B$1)</f>
        <v>13222.948136916273</v>
      </c>
      <c r="E16" s="9">
        <f t="shared" si="1"/>
        <v>17790.351769123976</v>
      </c>
      <c r="F16" s="1"/>
    </row>
    <row r="17" spans="1:6" x14ac:dyDescent="0.4">
      <c r="A17" s="2">
        <v>11</v>
      </c>
      <c r="B17" s="9">
        <f t="shared" si="0"/>
        <v>13895.175884562002</v>
      </c>
      <c r="C17" s="9">
        <f>IPMT($B$2/12,$A17,$B$3,-$B$1)</f>
        <v>451.84527869712514</v>
      </c>
      <c r="D17" s="9">
        <f>PPMT($B$2/12,$A17,$B$3,-$B$1)</f>
        <v>13443.330605864878</v>
      </c>
      <c r="E17" s="9">
        <f t="shared" si="1"/>
        <v>3895.1758845619734</v>
      </c>
      <c r="F17" s="1"/>
    </row>
    <row r="18" spans="1:6" x14ac:dyDescent="0.4">
      <c r="A18" s="2">
        <v>12</v>
      </c>
      <c r="B18" s="9">
        <f t="shared" si="0"/>
        <v>13895.175884562002</v>
      </c>
      <c r="C18" s="9">
        <f>IPMT($B$2/12,$A18,$B$3,-$B$1)</f>
        <v>227.78976859937711</v>
      </c>
      <c r="D18" s="9">
        <f>PPMT($B$2/12,$A18,$B$3,-$B$1)</f>
        <v>13667.386115962625</v>
      </c>
      <c r="E18" s="9">
        <f t="shared" si="1"/>
        <v>-10000.000000000029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Кредитный калькулятор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</dc:creator>
  <cp:lastModifiedBy>joker</cp:lastModifiedBy>
  <dcterms:created xsi:type="dcterms:W3CDTF">2026-02-04T10:47:08Z</dcterms:created>
  <dcterms:modified xsi:type="dcterms:W3CDTF">2026-02-05T08:45:34Z</dcterms:modified>
</cp:coreProperties>
</file>