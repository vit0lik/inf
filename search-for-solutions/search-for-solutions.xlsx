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ker\Documents\"/>
    </mc:Choice>
  </mc:AlternateContent>
  <xr:revisionPtr revIDLastSave="0" documentId="8_{90D0A91F-EA9D-4B20-9C56-FC037E9E09DC}" xr6:coauthVersionLast="47" xr6:coauthVersionMax="47" xr10:uidLastSave="{00000000-0000-0000-0000-000000000000}"/>
  <bookViews>
    <workbookView xWindow="-103" yWindow="-103" windowWidth="22149" windowHeight="13200" activeTab="2" xr2:uid="{E2394B08-DD06-4D49-80E0-B0A0BCABA15F}"/>
  </bookViews>
  <sheets>
    <sheet name="5ое задание симплекс метод" sheetId="1" r:id="rId1"/>
    <sheet name="5ое задание ОПГ метод" sheetId="2" r:id="rId2"/>
    <sheet name="6ое задание " sheetId="3" r:id="rId3"/>
  </sheets>
  <definedNames>
    <definedName name="solver_adj" localSheetId="1" hidden="1">'5ое задание ОПГ метод'!$F$3:$F$5</definedName>
    <definedName name="solver_adj" localSheetId="0" hidden="1">'5ое задание симплекс метод'!$F$3:$F$5</definedName>
    <definedName name="solver_adj" localSheetId="2" hidden="1">'6ое задание '!$F$2:$F$7</definedName>
    <definedName name="solver_cvg" localSheetId="1" hidden="1">0.0001</definedName>
    <definedName name="solver_cvg" localSheetId="0" hidden="1">0.0001</definedName>
    <definedName name="solver_cvg" localSheetId="2" hidden="1">0.0001</definedName>
    <definedName name="solver_drv" localSheetId="1" hidden="1">1</definedName>
    <definedName name="solver_drv" localSheetId="0" hidden="1">2</definedName>
    <definedName name="solver_drv" localSheetId="2" hidden="1">2</definedName>
    <definedName name="solver_eng" localSheetId="1" hidden="1">1</definedName>
    <definedName name="solver_eng" localSheetId="0" hidden="1">2</definedName>
    <definedName name="solver_eng" localSheetId="2" hidden="1">2</definedName>
    <definedName name="solver_est" localSheetId="1" hidden="1">1</definedName>
    <definedName name="solver_est" localSheetId="0" hidden="1">1</definedName>
    <definedName name="solver_est" localSheetId="2" hidden="1">1</definedName>
    <definedName name="solver_itr" localSheetId="1" hidden="1">2147483647</definedName>
    <definedName name="solver_itr" localSheetId="0" hidden="1">2147483647</definedName>
    <definedName name="solver_itr" localSheetId="2" hidden="1">2147483647</definedName>
    <definedName name="solver_lhs1" localSheetId="1" hidden="1">'5ое задание ОПГ метод'!$B$6</definedName>
    <definedName name="solver_lhs1" localSheetId="0" hidden="1">'5ое задание симплекс метод'!$B$6</definedName>
    <definedName name="solver_lhs1" localSheetId="2" hidden="1">'6ое задание '!$C$14</definedName>
    <definedName name="solver_lhs2" localSheetId="1" hidden="1">'5ое задание ОПГ метод'!$C$6</definedName>
    <definedName name="solver_lhs2" localSheetId="0" hidden="1">'5ое задание симплекс метод'!$C$6</definedName>
    <definedName name="solver_lhs2" localSheetId="2" hidden="1">'6ое задание '!$C$15</definedName>
    <definedName name="solver_lhs3" localSheetId="1" hidden="1">'5ое задание ОПГ метод'!$D$6</definedName>
    <definedName name="solver_lhs3" localSheetId="0" hidden="1">'5ое задание симплекс метод'!$D$6</definedName>
    <definedName name="solver_lhs3" localSheetId="2" hidden="1">'6ое задание '!$C$16</definedName>
    <definedName name="solver_lhs4" localSheetId="1" hidden="1">'5ое задание ОПГ метод'!$E$6</definedName>
    <definedName name="solver_lhs4" localSheetId="0" hidden="1">'5ое задание симплекс метод'!$E$6</definedName>
    <definedName name="solver_lhs4" localSheetId="2" hidden="1">'6ое задание '!$I$8</definedName>
    <definedName name="solver_lhs5" localSheetId="1" hidden="1">'5ое задание ОПГ метод'!$F$3</definedName>
    <definedName name="solver_lhs5" localSheetId="0" hidden="1">'5ое задание симплекс метод'!$F$3</definedName>
    <definedName name="solver_lhs5" localSheetId="2" hidden="1">'6ое задание '!$I$8</definedName>
    <definedName name="solver_lhs6" localSheetId="1" hidden="1">'5ое задание ОПГ метод'!$F$4</definedName>
    <definedName name="solver_lhs6" localSheetId="0" hidden="1">'5ое задание симплекс метод'!$F$4</definedName>
    <definedName name="solver_lhs7" localSheetId="1" hidden="1">'5ое задание ОПГ метод'!$F$5</definedName>
    <definedName name="solver_lhs7" localSheetId="0" hidden="1">'5ое задание симплекс метод'!$F$5</definedName>
    <definedName name="solver_mip" localSheetId="1" hidden="1">2147483647</definedName>
    <definedName name="solver_mip" localSheetId="0" hidden="1">2147483647</definedName>
    <definedName name="solver_mip" localSheetId="2" hidden="1">2147483647</definedName>
    <definedName name="solver_mni" localSheetId="1" hidden="1">30</definedName>
    <definedName name="solver_mni" localSheetId="0" hidden="1">30</definedName>
    <definedName name="solver_mni" localSheetId="2" hidden="1">30</definedName>
    <definedName name="solver_mrt" localSheetId="1" hidden="1">0.075</definedName>
    <definedName name="solver_mrt" localSheetId="0" hidden="1">0.075</definedName>
    <definedName name="solver_mrt" localSheetId="2" hidden="1">0.075</definedName>
    <definedName name="solver_msl" localSheetId="1" hidden="1">2</definedName>
    <definedName name="solver_msl" localSheetId="0" hidden="1">2</definedName>
    <definedName name="solver_msl" localSheetId="2" hidden="1">2</definedName>
    <definedName name="solver_neg" localSheetId="1" hidden="1">1</definedName>
    <definedName name="solver_neg" localSheetId="0" hidden="1">1</definedName>
    <definedName name="solver_neg" localSheetId="2" hidden="1">1</definedName>
    <definedName name="solver_nod" localSheetId="1" hidden="1">2147483647</definedName>
    <definedName name="solver_nod" localSheetId="0" hidden="1">2147483647</definedName>
    <definedName name="solver_nod" localSheetId="2" hidden="1">2147483647</definedName>
    <definedName name="solver_num" localSheetId="1" hidden="1">7</definedName>
    <definedName name="solver_num" localSheetId="0" hidden="1">7</definedName>
    <definedName name="solver_num" localSheetId="2" hidden="1">3</definedName>
    <definedName name="solver_nwt" localSheetId="1" hidden="1">1</definedName>
    <definedName name="solver_nwt" localSheetId="0" hidden="1">1</definedName>
    <definedName name="solver_nwt" localSheetId="2" hidden="1">1</definedName>
    <definedName name="solver_opt" localSheetId="1" hidden="1">'5ое задание ОПГ метод'!$G$6</definedName>
    <definedName name="solver_opt" localSheetId="0" hidden="1">'5ое задание симплекс метод'!$G$6</definedName>
    <definedName name="solver_opt" localSheetId="2" hidden="1">'6ое задание '!$I$1</definedName>
    <definedName name="solver_pre" localSheetId="1" hidden="1">0.000001</definedName>
    <definedName name="solver_pre" localSheetId="0" hidden="1">0.000001</definedName>
    <definedName name="solver_pre" localSheetId="2" hidden="1">0.000001</definedName>
    <definedName name="solver_rbv" localSheetId="1" hidden="1">2</definedName>
    <definedName name="solver_rbv" localSheetId="0" hidden="1">2</definedName>
    <definedName name="solver_rbv" localSheetId="2" hidden="1">2</definedName>
    <definedName name="solver_rel1" localSheetId="1" hidden="1">1</definedName>
    <definedName name="solver_rel1" localSheetId="0" hidden="1">1</definedName>
    <definedName name="solver_rel1" localSheetId="2" hidden="1">3</definedName>
    <definedName name="solver_rel2" localSheetId="1" hidden="1">1</definedName>
    <definedName name="solver_rel2" localSheetId="0" hidden="1">1</definedName>
    <definedName name="solver_rel2" localSheetId="2" hidden="1">3</definedName>
    <definedName name="solver_rel3" localSheetId="1" hidden="1">1</definedName>
    <definedName name="solver_rel3" localSheetId="0" hidden="1">1</definedName>
    <definedName name="solver_rel3" localSheetId="2" hidden="1">3</definedName>
    <definedName name="solver_rel4" localSheetId="1" hidden="1">1</definedName>
    <definedName name="solver_rel4" localSheetId="0" hidden="1">1</definedName>
    <definedName name="solver_rel4" localSheetId="2" hidden="1">3</definedName>
    <definedName name="solver_rel5" localSheetId="1" hidden="1">4</definedName>
    <definedName name="solver_rel5" localSheetId="0" hidden="1">4</definedName>
    <definedName name="solver_rel5" localSheetId="2" hidden="1">3</definedName>
    <definedName name="solver_rel6" localSheetId="1" hidden="1">4</definedName>
    <definedName name="solver_rel6" localSheetId="0" hidden="1">4</definedName>
    <definedName name="solver_rel7" localSheetId="1" hidden="1">4</definedName>
    <definedName name="solver_rel7" localSheetId="0" hidden="1">4</definedName>
    <definedName name="solver_rhs1" localSheetId="1" hidden="1">250</definedName>
    <definedName name="solver_rhs1" localSheetId="0" hidden="1">250</definedName>
    <definedName name="solver_rhs1" localSheetId="2" hidden="1">'6ое задание '!$C$11</definedName>
    <definedName name="solver_rhs2" localSheetId="1" hidden="1">800</definedName>
    <definedName name="solver_rhs2" localSheetId="0" hidden="1">800</definedName>
    <definedName name="solver_rhs2" localSheetId="2" hidden="1">'6ое задание '!$C$12</definedName>
    <definedName name="solver_rhs3" localSheetId="1" hidden="1">450</definedName>
    <definedName name="solver_rhs3" localSheetId="0" hidden="1">450</definedName>
    <definedName name="solver_rhs3" localSheetId="2" hidden="1">'6ое задание '!$C$13</definedName>
    <definedName name="solver_rhs4" localSheetId="1" hidden="1">600</definedName>
    <definedName name="solver_rhs4" localSheetId="0" hidden="1">600</definedName>
    <definedName name="solver_rhs4" localSheetId="2" hidden="1">200</definedName>
    <definedName name="solver_rhs5" localSheetId="1" hidden="1">"целое"</definedName>
    <definedName name="solver_rhs5" localSheetId="0" hidden="1">"целое"</definedName>
    <definedName name="solver_rhs5" localSheetId="2" hidden="1">200</definedName>
    <definedName name="solver_rhs6" localSheetId="1" hidden="1">"целое"</definedName>
    <definedName name="solver_rhs6" localSheetId="0" hidden="1">"целое"</definedName>
    <definedName name="solver_rhs7" localSheetId="1" hidden="1">"целое"</definedName>
    <definedName name="solver_rhs7" localSheetId="0" hidden="1">"целое"</definedName>
    <definedName name="solver_rlx" localSheetId="1" hidden="1">2</definedName>
    <definedName name="solver_rlx" localSheetId="0" hidden="1">2</definedName>
    <definedName name="solver_rlx" localSheetId="2" hidden="1">2</definedName>
    <definedName name="solver_rsd" localSheetId="1" hidden="1">0</definedName>
    <definedName name="solver_rsd" localSheetId="0" hidden="1">0</definedName>
    <definedName name="solver_rsd" localSheetId="2" hidden="1">0</definedName>
    <definedName name="solver_scl" localSheetId="1" hidden="1">2</definedName>
    <definedName name="solver_scl" localSheetId="0" hidden="1">2</definedName>
    <definedName name="solver_scl" localSheetId="2" hidden="1">2</definedName>
    <definedName name="solver_sho" localSheetId="1" hidden="1">2</definedName>
    <definedName name="solver_sho" localSheetId="0" hidden="1">2</definedName>
    <definedName name="solver_sho" localSheetId="2" hidden="1">2</definedName>
    <definedName name="solver_ssz" localSheetId="1" hidden="1">0</definedName>
    <definedName name="solver_ssz" localSheetId="0" hidden="1">100</definedName>
    <definedName name="solver_ssz" localSheetId="2" hidden="1">100</definedName>
    <definedName name="solver_tim" localSheetId="1" hidden="1">2147483647</definedName>
    <definedName name="solver_tim" localSheetId="0" hidden="1">2147483647</definedName>
    <definedName name="solver_tim" localSheetId="2" hidden="1">2147483647</definedName>
    <definedName name="solver_tol" localSheetId="1" hidden="1">0.01</definedName>
    <definedName name="solver_tol" localSheetId="0" hidden="1">0.01</definedName>
    <definedName name="solver_tol" localSheetId="2" hidden="1">0.01</definedName>
    <definedName name="solver_typ" localSheetId="1" hidden="1">1</definedName>
    <definedName name="solver_typ" localSheetId="0" hidden="1">1</definedName>
    <definedName name="solver_typ" localSheetId="2" hidden="1">2</definedName>
    <definedName name="solver_val" localSheetId="1" hidden="1">0</definedName>
    <definedName name="solver_val" localSheetId="0" hidden="1">0</definedName>
    <definedName name="solver_val" localSheetId="2" hidden="1">0</definedName>
    <definedName name="solver_ver" localSheetId="1" hidden="1">3</definedName>
    <definedName name="solver_ver" localSheetId="0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" i="3" l="1"/>
  <c r="C16" i="3"/>
  <c r="C15" i="3"/>
  <c r="C14" i="3"/>
  <c r="E3" i="3"/>
  <c r="E4" i="3"/>
  <c r="E5" i="3"/>
  <c r="E6" i="3"/>
  <c r="E7" i="3"/>
  <c r="E2" i="3"/>
  <c r="F6" i="2"/>
  <c r="G5" i="2"/>
  <c r="E5" i="2"/>
  <c r="D5" i="2"/>
  <c r="C5" i="2"/>
  <c r="B5" i="2"/>
  <c r="G4" i="2"/>
  <c r="E4" i="2"/>
  <c r="D4" i="2"/>
  <c r="C4" i="2"/>
  <c r="B4" i="2"/>
  <c r="G3" i="2"/>
  <c r="E3" i="2"/>
  <c r="D3" i="2"/>
  <c r="C3" i="2"/>
  <c r="B3" i="2"/>
  <c r="B4" i="1"/>
  <c r="G5" i="1"/>
  <c r="G4" i="1"/>
  <c r="G3" i="1"/>
  <c r="E5" i="1"/>
  <c r="E4" i="1"/>
  <c r="E3" i="1"/>
  <c r="D4" i="1"/>
  <c r="D3" i="1"/>
  <c r="C5" i="1"/>
  <c r="C3" i="1"/>
  <c r="B5" i="1"/>
  <c r="B3" i="1"/>
  <c r="D5" i="1"/>
  <c r="C4" i="1"/>
  <c r="F6" i="1"/>
  <c r="G6" i="2" l="1"/>
  <c r="D6" i="2"/>
  <c r="C6" i="2"/>
  <c r="B6" i="2"/>
  <c r="E6" i="2"/>
  <c r="G6" i="1"/>
  <c r="D6" i="1"/>
  <c r="C6" i="1"/>
  <c r="E6" i="1"/>
  <c r="B6" i="1"/>
</calcChain>
</file>

<file path=xl/sharedStrings.xml><?xml version="1.0" encoding="utf-8"?>
<sst xmlns="http://schemas.openxmlformats.org/spreadsheetml/2006/main" count="41" uniqueCount="21">
  <si>
    <t xml:space="preserve">Наименование изделия </t>
  </si>
  <si>
    <t xml:space="preserve">Расход на еденицу товара </t>
  </si>
  <si>
    <t>Кинескоп</t>
  </si>
  <si>
    <t xml:space="preserve">Динамик </t>
  </si>
  <si>
    <t>Блок питания</t>
  </si>
  <si>
    <t>Плата</t>
  </si>
  <si>
    <t xml:space="preserve">Стереосистема </t>
  </si>
  <si>
    <t xml:space="preserve">Телевизор </t>
  </si>
  <si>
    <t>Акустическая система</t>
  </si>
  <si>
    <t>Всего</t>
  </si>
  <si>
    <t>Прибыль</t>
  </si>
  <si>
    <t>Кол-во</t>
  </si>
  <si>
    <t>5м</t>
  </si>
  <si>
    <t>4м</t>
  </si>
  <si>
    <t>3м</t>
  </si>
  <si>
    <t>Остаток</t>
  </si>
  <si>
    <t>Доски</t>
  </si>
  <si>
    <t>Необходимо</t>
  </si>
  <si>
    <t>Получено</t>
  </si>
  <si>
    <t>Шаблон №</t>
  </si>
  <si>
    <t>Количество 10м досок: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</si>
</sst>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/>
    <xf numFmtId="0" fontId="0" fillId="0" borderId="5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D391F-B5C3-4251-900E-800722252879}">
  <dimension ref="A1:G6"/>
  <sheetViews>
    <sheetView zoomScale="97" workbookViewId="0">
      <selection activeCell="F4" sqref="F4"/>
    </sheetView>
  </sheetViews>
  <sheetFormatPr defaultRowHeight="14.6" x14ac:dyDescent="0.4"/>
  <cols>
    <col min="1" max="1" width="23" customWidth="1"/>
    <col min="2" max="2" width="8.921875" bestFit="1" customWidth="1"/>
    <col min="3" max="3" width="8.84375" bestFit="1" customWidth="1"/>
    <col min="4" max="4" width="12.15234375" bestFit="1" customWidth="1"/>
    <col min="5" max="5" width="16.84375" customWidth="1"/>
    <col min="6" max="6" width="6.53515625" bestFit="1" customWidth="1"/>
    <col min="7" max="7" width="8.3828125" bestFit="1" customWidth="1"/>
  </cols>
  <sheetData>
    <row r="1" spans="1:7" x14ac:dyDescent="0.4">
      <c r="A1" s="2" t="s">
        <v>0</v>
      </c>
      <c r="B1" s="2" t="s">
        <v>1</v>
      </c>
      <c r="C1" s="2"/>
      <c r="D1" s="2"/>
      <c r="E1" s="2"/>
      <c r="F1" s="2" t="s">
        <v>11</v>
      </c>
      <c r="G1" s="2" t="s">
        <v>10</v>
      </c>
    </row>
    <row r="2" spans="1:7" x14ac:dyDescent="0.4">
      <c r="A2" s="2"/>
      <c r="B2" s="3" t="s">
        <v>2</v>
      </c>
      <c r="C2" s="3" t="s">
        <v>3</v>
      </c>
      <c r="D2" s="3" t="s">
        <v>4</v>
      </c>
      <c r="E2" s="3" t="s">
        <v>5</v>
      </c>
      <c r="F2" s="2"/>
      <c r="G2" s="2"/>
    </row>
    <row r="3" spans="1:7" x14ac:dyDescent="0.4">
      <c r="A3" s="3" t="s">
        <v>6</v>
      </c>
      <c r="B3" s="3">
        <f>0*$F3</f>
        <v>0</v>
      </c>
      <c r="C3" s="3">
        <f>2*$F3</f>
        <v>0</v>
      </c>
      <c r="D3" s="3">
        <f>1*$F3</f>
        <v>0</v>
      </c>
      <c r="E3" s="3">
        <f>6*$F3</f>
        <v>0</v>
      </c>
      <c r="F3" s="3">
        <v>0</v>
      </c>
      <c r="G3" s="3">
        <f>50*F3</f>
        <v>0</v>
      </c>
    </row>
    <row r="4" spans="1:7" x14ac:dyDescent="0.4">
      <c r="A4" s="3" t="s">
        <v>7</v>
      </c>
      <c r="B4" s="3">
        <f>1*$F4</f>
        <v>75</v>
      </c>
      <c r="C4" s="3">
        <f t="shared" ref="B3:E5" si="0">2*$F4</f>
        <v>150</v>
      </c>
      <c r="D4" s="3">
        <f>2*$F4</f>
        <v>150</v>
      </c>
      <c r="E4" s="3">
        <f>8*$F4</f>
        <v>600</v>
      </c>
      <c r="F4" s="3">
        <v>75</v>
      </c>
      <c r="G4" s="3">
        <f>90*F4</f>
        <v>6750</v>
      </c>
    </row>
    <row r="5" spans="1:7" x14ac:dyDescent="0.4">
      <c r="A5" s="3" t="s">
        <v>8</v>
      </c>
      <c r="B5" s="3">
        <f>0*$F5</f>
        <v>0</v>
      </c>
      <c r="C5" s="3">
        <f>5*$F5</f>
        <v>0</v>
      </c>
      <c r="D5" s="3">
        <f t="shared" ref="D3:E5" si="1">2*$F5</f>
        <v>0</v>
      </c>
      <c r="E5" s="3">
        <f>4*$F5</f>
        <v>0</v>
      </c>
      <c r="F5" s="3">
        <v>0</v>
      </c>
      <c r="G5" s="3">
        <f>45*F5</f>
        <v>0</v>
      </c>
    </row>
    <row r="6" spans="1:7" x14ac:dyDescent="0.4">
      <c r="A6" s="3" t="s">
        <v>9</v>
      </c>
      <c r="B6" s="3">
        <f>SUM(B3:B5)</f>
        <v>75</v>
      </c>
      <c r="C6" s="3">
        <f t="shared" ref="C6:G6" si="2">SUM(C3:C5)</f>
        <v>150</v>
      </c>
      <c r="D6" s="3">
        <f t="shared" si="2"/>
        <v>150</v>
      </c>
      <c r="E6" s="3">
        <f t="shared" si="2"/>
        <v>600</v>
      </c>
      <c r="F6" s="3">
        <f t="shared" si="2"/>
        <v>75</v>
      </c>
      <c r="G6" s="3">
        <f t="shared" si="2"/>
        <v>6750</v>
      </c>
    </row>
  </sheetData>
  <mergeCells count="4">
    <mergeCell ref="B1:E1"/>
    <mergeCell ref="A1:A2"/>
    <mergeCell ref="F1:F2"/>
    <mergeCell ref="G1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B4028-A602-4E42-8C0A-6DB972A199F9}">
  <dimension ref="A1:G6"/>
  <sheetViews>
    <sheetView workbookViewId="0">
      <selection activeCell="F5" sqref="F5"/>
    </sheetView>
  </sheetViews>
  <sheetFormatPr defaultRowHeight="14.6" x14ac:dyDescent="0.4"/>
  <cols>
    <col min="1" max="1" width="21.69140625" bestFit="1" customWidth="1"/>
    <col min="2" max="2" width="8.921875" bestFit="1" customWidth="1"/>
    <col min="3" max="3" width="8.84375" bestFit="1" customWidth="1"/>
    <col min="4" max="4" width="12.15234375" bestFit="1" customWidth="1"/>
    <col min="5" max="5" width="5.921875" bestFit="1" customWidth="1"/>
    <col min="7" max="7" width="8.3828125" bestFit="1" customWidth="1"/>
  </cols>
  <sheetData>
    <row r="1" spans="1:7" x14ac:dyDescent="0.4">
      <c r="A1" s="2" t="s">
        <v>0</v>
      </c>
      <c r="B1" s="2" t="s">
        <v>1</v>
      </c>
      <c r="C1" s="2"/>
      <c r="D1" s="2"/>
      <c r="E1" s="2"/>
      <c r="F1" s="2" t="s">
        <v>11</v>
      </c>
      <c r="G1" s="2" t="s">
        <v>10</v>
      </c>
    </row>
    <row r="2" spans="1:7" x14ac:dyDescent="0.4">
      <c r="A2" s="2"/>
      <c r="B2" s="3" t="s">
        <v>2</v>
      </c>
      <c r="C2" s="3" t="s">
        <v>3</v>
      </c>
      <c r="D2" s="3" t="s">
        <v>4</v>
      </c>
      <c r="E2" s="3" t="s">
        <v>5</v>
      </c>
      <c r="F2" s="2"/>
      <c r="G2" s="2"/>
    </row>
    <row r="3" spans="1:7" x14ac:dyDescent="0.4">
      <c r="A3" s="3" t="s">
        <v>6</v>
      </c>
      <c r="B3" s="3">
        <f>0*$F3</f>
        <v>0</v>
      </c>
      <c r="C3" s="3">
        <f>2*$F3</f>
        <v>0</v>
      </c>
      <c r="D3" s="3">
        <f>1*$F3</f>
        <v>0</v>
      </c>
      <c r="E3" s="3">
        <f>6*$F3</f>
        <v>0</v>
      </c>
      <c r="F3" s="3">
        <v>0</v>
      </c>
      <c r="G3" s="3">
        <f>50*F3</f>
        <v>0</v>
      </c>
    </row>
    <row r="4" spans="1:7" x14ac:dyDescent="0.4">
      <c r="A4" s="3" t="s">
        <v>7</v>
      </c>
      <c r="B4" s="3">
        <f>1*$F4</f>
        <v>63</v>
      </c>
      <c r="C4" s="3">
        <f t="shared" ref="C4:F6" si="0">2*$F4</f>
        <v>126</v>
      </c>
      <c r="D4" s="3">
        <f>2*$F4</f>
        <v>126</v>
      </c>
      <c r="E4" s="3">
        <f>8*$F4</f>
        <v>504</v>
      </c>
      <c r="F4" s="3">
        <v>63</v>
      </c>
      <c r="G4" s="3">
        <f>90*F4</f>
        <v>5670</v>
      </c>
    </row>
    <row r="5" spans="1:7" x14ac:dyDescent="0.4">
      <c r="A5" s="3" t="s">
        <v>8</v>
      </c>
      <c r="B5" s="3">
        <f>0*$F5</f>
        <v>0</v>
      </c>
      <c r="C5" s="3">
        <f>5*$F5</f>
        <v>120</v>
      </c>
      <c r="D5" s="3">
        <f t="shared" ref="D5:E6" si="1">2*$F5</f>
        <v>48</v>
      </c>
      <c r="E5" s="3">
        <f>4*$F5</f>
        <v>96</v>
      </c>
      <c r="F5" s="3">
        <v>24</v>
      </c>
      <c r="G5" s="3">
        <f>45*F5</f>
        <v>1080</v>
      </c>
    </row>
    <row r="6" spans="1:7" x14ac:dyDescent="0.4">
      <c r="A6" s="3" t="s">
        <v>9</v>
      </c>
      <c r="B6" s="3">
        <f>SUM(B3:B5)</f>
        <v>63</v>
      </c>
      <c r="C6" s="3">
        <f t="shared" ref="C6:G6" si="2">SUM(C3:C5)</f>
        <v>246</v>
      </c>
      <c r="D6" s="3">
        <f t="shared" si="2"/>
        <v>174</v>
      </c>
      <c r="E6" s="3">
        <f t="shared" si="2"/>
        <v>600</v>
      </c>
      <c r="F6" s="3">
        <f t="shared" si="2"/>
        <v>87</v>
      </c>
      <c r="G6" s="3">
        <f t="shared" si="2"/>
        <v>6750</v>
      </c>
    </row>
  </sheetData>
  <mergeCells count="4">
    <mergeCell ref="A1:A2"/>
    <mergeCell ref="B1:E1"/>
    <mergeCell ref="F1:F2"/>
    <mergeCell ref="G1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57E73-2C77-4847-ADD9-6EE0E4A2EEB2}">
  <dimension ref="A1:I16"/>
  <sheetViews>
    <sheetView tabSelected="1" workbookViewId="0">
      <selection activeCell="I1" sqref="I1"/>
    </sheetView>
  </sheetViews>
  <sheetFormatPr defaultRowHeight="14.6" x14ac:dyDescent="0.4"/>
  <cols>
    <col min="1" max="1" width="11.3828125" bestFit="1" customWidth="1"/>
    <col min="2" max="2" width="14" customWidth="1"/>
    <col min="4" max="4" width="15.765625" customWidth="1"/>
    <col min="8" max="8" width="19.69140625" bestFit="1" customWidth="1"/>
  </cols>
  <sheetData>
    <row r="1" spans="1:9" x14ac:dyDescent="0.4">
      <c r="A1" s="3" t="s">
        <v>19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11</v>
      </c>
      <c r="G1" s="1"/>
      <c r="H1" s="12" t="s">
        <v>20</v>
      </c>
      <c r="I1" s="13">
        <f>SUM(F2:F7)</f>
        <v>225</v>
      </c>
    </row>
    <row r="2" spans="1:9" x14ac:dyDescent="0.4">
      <c r="A2" s="3">
        <v>1</v>
      </c>
      <c r="B2" s="3">
        <v>2</v>
      </c>
      <c r="C2" s="3">
        <v>0</v>
      </c>
      <c r="D2" s="3">
        <v>0</v>
      </c>
      <c r="E2" s="3">
        <f>10-SUM(B2*5,C2*4,D2*3)</f>
        <v>0</v>
      </c>
      <c r="F2" s="3">
        <v>50</v>
      </c>
      <c r="G2" s="1"/>
      <c r="H2" s="1"/>
      <c r="I2" s="1"/>
    </row>
    <row r="3" spans="1:9" x14ac:dyDescent="0.4">
      <c r="A3" s="3">
        <v>2</v>
      </c>
      <c r="B3" s="3">
        <v>1</v>
      </c>
      <c r="C3" s="3">
        <v>1</v>
      </c>
      <c r="D3" s="3">
        <v>0</v>
      </c>
      <c r="E3" s="3">
        <f t="shared" ref="E3:E7" si="0">10-SUM(B3*5,C3*4,D3*3)</f>
        <v>1</v>
      </c>
      <c r="F3" s="3">
        <v>0</v>
      </c>
      <c r="G3" s="1"/>
      <c r="H3" s="1"/>
      <c r="I3" s="1"/>
    </row>
    <row r="4" spans="1:9" x14ac:dyDescent="0.4">
      <c r="A4" s="3">
        <v>3</v>
      </c>
      <c r="B4" s="3">
        <v>1</v>
      </c>
      <c r="C4" s="3">
        <v>0</v>
      </c>
      <c r="D4" s="3">
        <v>1</v>
      </c>
      <c r="E4" s="3">
        <f t="shared" si="0"/>
        <v>2</v>
      </c>
      <c r="F4" s="3">
        <v>0</v>
      </c>
      <c r="G4" s="1"/>
      <c r="H4" s="1"/>
      <c r="I4" s="1"/>
    </row>
    <row r="5" spans="1:9" x14ac:dyDescent="0.4">
      <c r="A5" s="3">
        <v>4</v>
      </c>
      <c r="B5" s="3">
        <v>0</v>
      </c>
      <c r="C5" s="3">
        <v>1</v>
      </c>
      <c r="D5" s="3">
        <v>2</v>
      </c>
      <c r="E5" s="3">
        <f t="shared" si="0"/>
        <v>0</v>
      </c>
      <c r="F5" s="3">
        <v>150</v>
      </c>
      <c r="G5" s="1"/>
      <c r="H5" s="1"/>
      <c r="I5" s="1"/>
    </row>
    <row r="6" spans="1:9" x14ac:dyDescent="0.4">
      <c r="A6" s="3">
        <v>5</v>
      </c>
      <c r="B6" s="3">
        <v>0</v>
      </c>
      <c r="C6" s="3">
        <v>2</v>
      </c>
      <c r="D6" s="3">
        <v>0</v>
      </c>
      <c r="E6" s="3">
        <f t="shared" si="0"/>
        <v>2</v>
      </c>
      <c r="F6" s="3">
        <v>25</v>
      </c>
      <c r="G6" s="1"/>
      <c r="H6" s="1"/>
      <c r="I6" s="1"/>
    </row>
    <row r="7" spans="1:9" x14ac:dyDescent="0.4">
      <c r="A7" s="10">
        <v>6</v>
      </c>
      <c r="B7" s="10">
        <v>0</v>
      </c>
      <c r="C7" s="10">
        <v>0</v>
      </c>
      <c r="D7" s="10">
        <v>3</v>
      </c>
      <c r="E7" s="10">
        <f t="shared" si="0"/>
        <v>1</v>
      </c>
      <c r="F7" s="3">
        <v>0</v>
      </c>
      <c r="G7" s="1"/>
      <c r="H7" s="1"/>
      <c r="I7" s="1"/>
    </row>
    <row r="8" spans="1:9" x14ac:dyDescent="0.4">
      <c r="A8" s="11"/>
      <c r="B8" s="11"/>
      <c r="C8" s="11"/>
      <c r="D8" s="11"/>
      <c r="E8" s="11"/>
      <c r="F8" s="11"/>
      <c r="G8" s="1"/>
      <c r="H8" s="1"/>
      <c r="I8" s="1"/>
    </row>
    <row r="10" spans="1:9" x14ac:dyDescent="0.4">
      <c r="A10" s="3"/>
      <c r="B10" s="3" t="s">
        <v>16</v>
      </c>
      <c r="C10" s="3" t="s">
        <v>11</v>
      </c>
    </row>
    <row r="11" spans="1:9" x14ac:dyDescent="0.4">
      <c r="A11" s="7" t="s">
        <v>17</v>
      </c>
      <c r="B11" s="3" t="s">
        <v>12</v>
      </c>
      <c r="C11" s="3">
        <v>100</v>
      </c>
    </row>
    <row r="12" spans="1:9" x14ac:dyDescent="0.4">
      <c r="A12" s="8"/>
      <c r="B12" s="3" t="s">
        <v>13</v>
      </c>
      <c r="C12" s="3">
        <v>200</v>
      </c>
    </row>
    <row r="13" spans="1:9" x14ac:dyDescent="0.4">
      <c r="A13" s="9"/>
      <c r="B13" s="3" t="s">
        <v>14</v>
      </c>
      <c r="C13" s="3">
        <v>300</v>
      </c>
    </row>
    <row r="14" spans="1:9" x14ac:dyDescent="0.4">
      <c r="A14" s="4" t="s">
        <v>18</v>
      </c>
      <c r="B14" s="3" t="s">
        <v>12</v>
      </c>
      <c r="C14" s="3">
        <f>SUMPRODUCT(B2:B7,F2:F7)</f>
        <v>100</v>
      </c>
    </row>
    <row r="15" spans="1:9" x14ac:dyDescent="0.4">
      <c r="A15" s="5"/>
      <c r="B15" s="3" t="s">
        <v>13</v>
      </c>
      <c r="C15" s="3">
        <f>SUMPRODUCT(C2:C7,F2:F7)</f>
        <v>200</v>
      </c>
    </row>
    <row r="16" spans="1:9" x14ac:dyDescent="0.4">
      <c r="A16" s="6"/>
      <c r="B16" s="3" t="s">
        <v>14</v>
      </c>
      <c r="C16" s="3">
        <f>SUMPRODUCT(D2:D7,F2:F7)</f>
        <v>300</v>
      </c>
    </row>
  </sheetData>
  <mergeCells count="2">
    <mergeCell ref="A11:A13"/>
    <mergeCell ref="A14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5ое задание симплекс метод</vt:lpstr>
      <vt:lpstr>5ое задание ОПГ метод</vt:lpstr>
      <vt:lpstr>6ое задание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joker</dc:creator>
  <cp:lastModifiedBy>joker</cp:lastModifiedBy>
  <dcterms:created xsi:type="dcterms:W3CDTF">2026-02-04T14:05:27Z</dcterms:created>
  <dcterms:modified xsi:type="dcterms:W3CDTF">2026-02-04T15:47:52Z</dcterms:modified>
</cp:coreProperties>
</file>